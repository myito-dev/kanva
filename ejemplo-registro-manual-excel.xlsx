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gistro_Enero" sheetId="1" r:id="rId1"/>
    <sheet name="Resumen_Manual" sheetId="2" r:id="rId2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6"/>
  <sheetViews>
    <sheetView workbookViewId="0"/>
  </sheetViews>
  <cols>
    <col min="1" max="1" width="12.83203125" customWidth="1"/>
    <col min="2" max="2" width="14.83203125" customWidth="1"/>
    <col min="3" max="3" width="20.83203125" customWidth="1"/>
    <col min="4" max="4" width="14.83203125" customWidth="1"/>
    <col min="5" max="5" width="10.83203125" customWidth="1"/>
    <col min="6" max="6" width="12.83203125" customWidth="1"/>
    <col min="7" max="7" width="10.83203125" customWidth="1"/>
    <col min="8" max="8" width="12.83203125" customWidth="1"/>
  </cols>
  <sheetData>
    <row r="1">
      <c r="A1" t="str">
        <v>fecha</v>
      </c>
      <c r="B1" t="str">
        <v>vendedor</v>
      </c>
      <c r="C1" t="str">
        <v>producto</v>
      </c>
      <c r="D1" t="str">
        <v>categoria</v>
      </c>
      <c r="E1" t="str">
        <v>region</v>
      </c>
      <c r="F1" t="str">
        <v>monto</v>
      </c>
      <c r="G1" t="str">
        <v>unidades</v>
      </c>
      <c r="H1" t="str">
        <v>activo</v>
      </c>
    </row>
    <row r="2">
      <c r="A2" t="str">
        <v>2026-01-05</v>
      </c>
      <c r="B2" t="str">
        <v>Ana Torres</v>
      </c>
      <c r="C2" t="str">
        <v>Laptop Pro</v>
      </c>
      <c r="D2" t="str">
        <v>Electrónica</v>
      </c>
      <c r="E2" t="str">
        <v>Norte</v>
      </c>
      <c r="F2">
        <v>18500</v>
      </c>
      <c r="G2">
        <v>2</v>
      </c>
      <c r="H2" t="str">
        <v>VERDADERO</v>
      </c>
    </row>
    <row r="3">
      <c r="A3" t="str">
        <v>2026-01-06</v>
      </c>
      <c r="B3" t="str">
        <v>Luis Medina</v>
      </c>
      <c r="C3" t="str">
        <v>Silla Ergonómica</v>
      </c>
      <c r="D3" t="str">
        <v>Muebles</v>
      </c>
      <c r="E3" t="str">
        <v>Sur</v>
      </c>
      <c r="F3">
        <v>2300.5</v>
      </c>
      <c r="G3">
        <v>1</v>
      </c>
      <c r="H3" t="str">
        <v>VERDADERO</v>
      </c>
    </row>
    <row r="4">
      <c r="A4" t="str">
        <v>2026-01-07</v>
      </c>
      <c r="B4" t="str">
        <v>Marta Ríos</v>
      </c>
      <c r="C4" t="str">
        <v>Laptop Pro</v>
      </c>
      <c r="D4" t="str">
        <v>Electrónica</v>
      </c>
      <c r="E4" t="str">
        <v>Centro</v>
      </c>
      <c r="F4">
        <v>9250</v>
      </c>
      <c r="G4">
        <v>1</v>
      </c>
      <c r="H4" t="str">
        <v>VERDADERO</v>
      </c>
    </row>
    <row r="5">
      <c r="A5" t="str">
        <v>2026-01-08</v>
      </c>
      <c r="B5" t="str">
        <v>Ana Torres</v>
      </c>
      <c r="C5" t="str">
        <v>Monitor 27"</v>
      </c>
      <c r="D5" t="str">
        <v>Electrónica</v>
      </c>
      <c r="E5" t="str">
        <v>Norte</v>
      </c>
      <c r="F5">
        <v>4200</v>
      </c>
      <c r="G5">
        <v>2</v>
      </c>
      <c r="H5" t="str">
        <v>VERDADERO</v>
      </c>
    </row>
    <row r="6">
      <c r="A6" t="str">
        <v>2026-01-09</v>
      </c>
      <c r="B6" t="str">
        <v>Luis Medina</v>
      </c>
      <c r="C6" t="str">
        <v>Escritorio</v>
      </c>
      <c r="D6" t="str">
        <v>Muebles</v>
      </c>
      <c r="E6" t="str">
        <v>Sur</v>
      </c>
      <c r="F6">
        <v>3100</v>
      </c>
      <c r="G6">
        <v>1</v>
      </c>
      <c r="H6" t="str">
        <v>FALSO</v>
      </c>
    </row>
    <row r="7">
      <c r="A7" t="str">
        <v>2026-01-10</v>
      </c>
      <c r="B7" t="str">
        <v>Carlos Peña</v>
      </c>
      <c r="C7" t="str">
        <v>Teclado Mecánico</v>
      </c>
      <c r="D7" t="str">
        <v>Electrónica</v>
      </c>
      <c r="E7" t="str">
        <v>Centro</v>
      </c>
      <c r="F7">
        <v>1450</v>
      </c>
      <c r="G7">
        <v>3</v>
      </c>
      <c r="H7" t="str">
        <v>VERDADERO</v>
      </c>
    </row>
    <row r="8">
      <c r="A8" t="str">
        <v>2026-01-12</v>
      </c>
      <c r="B8" t="str">
        <v>Marta Ríos</v>
      </c>
      <c r="C8" t="str">
        <v>Silla Ergonómica</v>
      </c>
      <c r="D8" t="str">
        <v>Muebles</v>
      </c>
      <c r="E8" t="str">
        <v>Norte</v>
      </c>
      <c r="F8">
        <v>2300.5</v>
      </c>
      <c r="G8">
        <v>1</v>
      </c>
      <c r="H8" t="str">
        <v>VERDADERO</v>
      </c>
    </row>
    <row r="9">
      <c r="A9" t="str">
        <v>2026-01-13</v>
      </c>
      <c r="B9" t="str">
        <v>Ana Torres</v>
      </c>
      <c r="C9" t="str">
        <v>Mouse Inalámbrico</v>
      </c>
      <c r="D9" t="str">
        <v>Electrónica</v>
      </c>
      <c r="E9" t="str">
        <v>Sur</v>
      </c>
      <c r="F9">
        <v>650</v>
      </c>
      <c r="G9">
        <v>5</v>
      </c>
      <c r="H9" t="str">
        <v>VERDADERO</v>
      </c>
    </row>
    <row r="10">
      <c r="A10" t="str">
        <v>2026-01-14</v>
      </c>
      <c r="B10" t="str">
        <v>Carlos Peña</v>
      </c>
      <c r="C10" t="str">
        <v/>
      </c>
      <c r="D10" t="str">
        <v>Electrónica</v>
      </c>
      <c r="E10" t="str">
        <v>Centro</v>
      </c>
      <c r="F10">
        <v>890</v>
      </c>
      <c r="G10">
        <v>1</v>
      </c>
      <c r="H10" t="str">
        <v>VERDADERO</v>
      </c>
    </row>
    <row r="11">
      <c r="A11" t="str">
        <v>2026-01-15</v>
      </c>
      <c r="B11" t="str">
        <v>Luis Medina</v>
      </c>
      <c r="C11" t="str">
        <v>Lámpara de Escritorio</v>
      </c>
      <c r="D11" t="str">
        <v>Muebles</v>
      </c>
      <c r="E11" t="str">
        <v>Norte</v>
      </c>
      <c r="F11">
        <v>780</v>
      </c>
      <c r="G11">
        <v>2</v>
      </c>
      <c r="H11" t="str">
        <v>FALSO</v>
      </c>
    </row>
    <row r="12">
      <c r="A12" t="str">
        <v>2026-01-16</v>
      </c>
      <c r="B12" t="str">
        <v>Marta Ríos</v>
      </c>
      <c r="C12" t="str">
        <v>Laptop Pro</v>
      </c>
      <c r="D12" t="str">
        <v>Electrónica</v>
      </c>
      <c r="E12" t="str">
        <v>Sur</v>
      </c>
      <c r="F12">
        <v>9250</v>
      </c>
      <c r="G12">
        <v>1</v>
      </c>
      <c r="H12" t="str">
        <v>VERDADERO</v>
      </c>
    </row>
    <row r="13">
      <c r="A13" t="str">
        <v>2026-01-18</v>
      </c>
      <c r="B13" t="str">
        <v>Ana Torres</v>
      </c>
      <c r="C13" t="str">
        <v>Silla Ergonómica</v>
      </c>
      <c r="D13" t="str">
        <v>Muebles</v>
      </c>
      <c r="E13" t="str">
        <v>Centro</v>
      </c>
      <c r="F13">
        <v>2300.5</v>
      </c>
      <c r="G13">
        <v>1</v>
      </c>
      <c r="H13" t="str">
        <v>VERDADERO</v>
      </c>
    </row>
    <row r="14">
      <c r="A14" t="str">
        <v>2026-01-19</v>
      </c>
      <c r="B14" t="str">
        <v>Carlos Peña</v>
      </c>
      <c r="C14" t="str">
        <v>Monitor 27"</v>
      </c>
      <c r="D14" t="str">
        <v>Electrónica</v>
      </c>
      <c r="E14" t="str">
        <v>Norte</v>
      </c>
      <c r="F14">
        <v>4200</v>
      </c>
      <c r="G14">
        <v>2</v>
      </c>
      <c r="H14" t="str">
        <v>VERDADERO</v>
      </c>
    </row>
    <row r="15">
      <c r="A15" t="str">
        <v>2026-01-20</v>
      </c>
      <c r="B15" t="str">
        <v>Luis Medina</v>
      </c>
      <c r="C15" t="str">
        <v>Teclado Mecánico</v>
      </c>
      <c r="D15" t="str">
        <v>Electrónica</v>
      </c>
      <c r="E15" t="str">
        <v>Sur</v>
      </c>
      <c r="F15">
        <v>1450</v>
      </c>
      <c r="G15">
        <v>1</v>
      </c>
      <c r="H15" t="str">
        <v>VERDADERO</v>
      </c>
    </row>
    <row r="16">
      <c r="A16" t="str">
        <v>2026-01-22</v>
      </c>
      <c r="B16" t="str">
        <v>Marta Ríos</v>
      </c>
      <c r="C16" t="str">
        <v>Escritorio</v>
      </c>
      <c r="D16" t="str">
        <v>Muebles</v>
      </c>
      <c r="E16" t="str">
        <v>Centro</v>
      </c>
      <c r="F16">
        <v>3100</v>
      </c>
      <c r="G16">
        <v>1</v>
      </c>
      <c r="H16" t="str">
        <v>FALSO</v>
      </c>
    </row>
  </sheetData>
  <ignoredErrors>
    <ignoredError numberStoredAsText="1" sqref="A1:H1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6"/>
  <sheetViews>
    <sheetView workbookViewId="0"/>
  </sheetViews>
  <cols>
    <col min="1" max="1" width="18.83203125" customWidth="1"/>
    <col min="2" max="2" width="14.83203125" customWidth="1"/>
    <col min="3" max="3" width="12.83203125" customWidth="1"/>
    <col min="5" max="5" width="60.83203125" customWidth="1"/>
  </cols>
  <sheetData>
    <row r="1">
      <c r="A1" t="str">
        <v>Vendedor</v>
      </c>
      <c r="B1" t="str">
        <v>Total ventas</v>
      </c>
      <c r="C1" t="str">
        <v>Unidades</v>
      </c>
    </row>
    <row r="2">
      <c r="A2" t="str">
        <v>Ana Torres</v>
      </c>
      <c r="B2">
        <f>SUMIF(Registro_Enero!$B$2:$B$16,A2,Registro_Enero!$F$2:$F$16)</f>
      </c>
      <c r="C2">
        <f>SUMIF(Registro_Enero!$B$2:$B$16,A2,Registro_Enero!$G$2:$G$16)</f>
      </c>
    </row>
    <row r="3">
      <c r="A3" t="str">
        <v>Marta Ríos</v>
      </c>
      <c r="B3">
        <f>SUMIF(Registro_Enero!$B$2:$B$16,A3,Registro_Enero!$F$2:$F$16)</f>
      </c>
      <c r="C3">
        <f>SUMIF(Registro_Enero!$B$2:$B$16,A3,Registro_Enero!$G$2:$G$16)</f>
      </c>
    </row>
    <row r="4">
      <c r="A4" t="str">
        <v>Luis Medina</v>
      </c>
      <c r="B4">
        <f>SUMIF(Registro_Enero!$B$2:$B$16,A4,Registro_Enero!$F$2:$F$16)</f>
      </c>
      <c r="C4">
        <f>SUMIF(Registro_Enero!$B$2:$B$16,A4,Registro_Enero!$G$2:$G$16)</f>
      </c>
    </row>
    <row r="5">
      <c r="A5" t="str">
        <v>Carlos Peña</v>
      </c>
      <c r="B5">
        <f>SUMIF(Registro_Enero!$B$2:$B$16,A5,Registro_Enero!$F$2:$F$16)</f>
      </c>
      <c r="C5">
        <f>SUMIF(Registro_Enero!$B$2:$B$16,A5,Registro_Enero!$G$2:$G$16)</f>
      </c>
    </row>
    <row r="6">
      <c r="A6" t="str">
        <v>Total general</v>
      </c>
      <c r="B6">
        <f>SUM(B2:B5)</f>
      </c>
      <c r="C6">
        <f>SUM(C2:C5)</f>
      </c>
    </row>
  </sheetData>
  <ignoredErrors>
    <ignoredError numberStoredAsText="1" sqref="A1:C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Registro_Enero</vt:lpstr>
      <vt:lpstr>Resumen_Manual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