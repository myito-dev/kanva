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_Enero" sheetId="1" state="visible" r:id="rId1"/>
    <sheet xmlns:r="http://schemas.openxmlformats.org/officeDocument/2006/relationships" name="Resumen_Man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7A7A7A"/>
      <sz val="9"/>
    </font>
  </fonts>
  <fills count="4">
    <fill>
      <patternFill/>
    </fill>
    <fill>
      <patternFill patternType="gray125"/>
    </fill>
    <fill>
      <patternFill patternType="solid">
        <fgColor rgb="00D9E8DD"/>
        <bgColor rgb="00D9E8DD"/>
      </patternFill>
    </fill>
    <fill>
      <patternFill patternType="solid">
        <fgColor rgb="00FDECEA"/>
        <b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4" fontId="0" fillId="0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1" fillId="0" borderId="1" pivotButton="0" quotePrefix="0" xfId="0"/>
    <xf numFmtId="4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Ventas por vendedor (gráfico insertado manualmente)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'Resumen_Manual'!B1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'Resumen_Manual'!$A$2:$A$5</f>
            </numRef>
          </cat>
          <val>
            <numRef>
              <f>'Resumen_Manual'!$B$2:$B$5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Vendedor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ventas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4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>
      <c r="A1" s="1" t="inlineStr">
        <is>
          <t>fecha</t>
        </is>
      </c>
      <c r="B1" s="1" t="inlineStr">
        <is>
          <t>vendedor</t>
        </is>
      </c>
      <c r="C1" s="1" t="inlineStr">
        <is>
          <t>producto</t>
        </is>
      </c>
      <c r="D1" s="1" t="inlineStr">
        <is>
          <t>categoria</t>
        </is>
      </c>
      <c r="E1" s="1" t="inlineStr">
        <is>
          <t>region</t>
        </is>
      </c>
      <c r="F1" s="1" t="inlineStr">
        <is>
          <t>monto</t>
        </is>
      </c>
      <c r="G1" s="1" t="inlineStr">
        <is>
          <t>unidades</t>
        </is>
      </c>
      <c r="H1" s="1" t="inlineStr">
        <is>
          <t>activo</t>
        </is>
      </c>
    </row>
    <row r="2">
      <c r="A2" s="2" t="inlineStr">
        <is>
          <t>2026-01-05</t>
        </is>
      </c>
      <c r="B2" s="2" t="inlineStr">
        <is>
          <t>Ana Torres</t>
        </is>
      </c>
      <c r="C2" s="2" t="inlineStr">
        <is>
          <t>Laptop Pro</t>
        </is>
      </c>
      <c r="D2" s="2" t="inlineStr">
        <is>
          <t>Electrónica</t>
        </is>
      </c>
      <c r="E2" s="2" t="inlineStr">
        <is>
          <t>Norte</t>
        </is>
      </c>
      <c r="F2" s="3" t="n">
        <v>18500</v>
      </c>
      <c r="G2" s="2" t="n">
        <v>2</v>
      </c>
      <c r="H2" s="2" t="inlineStr">
        <is>
          <t>VERDADERO</t>
        </is>
      </c>
    </row>
    <row r="3">
      <c r="A3" s="2" t="inlineStr">
        <is>
          <t>2026-01-06</t>
        </is>
      </c>
      <c r="B3" s="2" t="inlineStr">
        <is>
          <t>Luis Medina</t>
        </is>
      </c>
      <c r="C3" s="2" t="inlineStr">
        <is>
          <t>Silla Ergonómica</t>
        </is>
      </c>
      <c r="D3" s="2" t="inlineStr">
        <is>
          <t>Muebles</t>
        </is>
      </c>
      <c r="E3" s="2" t="inlineStr">
        <is>
          <t>Sur</t>
        </is>
      </c>
      <c r="F3" s="3" t="n">
        <v>2300.5</v>
      </c>
      <c r="G3" s="2" t="n">
        <v>1</v>
      </c>
      <c r="H3" s="2" t="inlineStr">
        <is>
          <t>VERDADERO</t>
        </is>
      </c>
    </row>
    <row r="4">
      <c r="A4" s="2" t="inlineStr">
        <is>
          <t>2026-01-07</t>
        </is>
      </c>
      <c r="B4" s="2" t="inlineStr">
        <is>
          <t>Marta Ríos</t>
        </is>
      </c>
      <c r="C4" s="2" t="inlineStr">
        <is>
          <t>Laptop Pro</t>
        </is>
      </c>
      <c r="D4" s="2" t="inlineStr">
        <is>
          <t>Electrónica</t>
        </is>
      </c>
      <c r="E4" s="2" t="inlineStr">
        <is>
          <t>Centro</t>
        </is>
      </c>
      <c r="F4" s="3" t="n">
        <v>9250</v>
      </c>
      <c r="G4" s="2" t="n">
        <v>1</v>
      </c>
      <c r="H4" s="2" t="inlineStr">
        <is>
          <t>VERDADERO</t>
        </is>
      </c>
    </row>
    <row r="5">
      <c r="A5" s="2" t="inlineStr">
        <is>
          <t>2026-01-08</t>
        </is>
      </c>
      <c r="B5" s="2" t="inlineStr">
        <is>
          <t>Ana Torres</t>
        </is>
      </c>
      <c r="C5" s="2" t="inlineStr">
        <is>
          <t>Monitor 27"</t>
        </is>
      </c>
      <c r="D5" s="2" t="inlineStr">
        <is>
          <t>Electrónica</t>
        </is>
      </c>
      <c r="E5" s="2" t="inlineStr">
        <is>
          <t>Norte</t>
        </is>
      </c>
      <c r="F5" s="3" t="n">
        <v>4200</v>
      </c>
      <c r="G5" s="2" t="n">
        <v>2</v>
      </c>
      <c r="H5" s="2" t="inlineStr">
        <is>
          <t>VERDADERO</t>
        </is>
      </c>
    </row>
    <row r="6">
      <c r="A6" s="2" t="inlineStr">
        <is>
          <t>2026-01-09</t>
        </is>
      </c>
      <c r="B6" s="2" t="inlineStr">
        <is>
          <t>Luis Medina</t>
        </is>
      </c>
      <c r="C6" s="2" t="inlineStr">
        <is>
          <t>Escritorio</t>
        </is>
      </c>
      <c r="D6" s="2" t="inlineStr">
        <is>
          <t>Muebles</t>
        </is>
      </c>
      <c r="E6" s="2" t="inlineStr">
        <is>
          <t>Sur</t>
        </is>
      </c>
      <c r="F6" s="3" t="n">
        <v>3100</v>
      </c>
      <c r="G6" s="2" t="n">
        <v>1</v>
      </c>
      <c r="H6" s="2" t="inlineStr">
        <is>
          <t>FALSO</t>
        </is>
      </c>
    </row>
    <row r="7">
      <c r="A7" s="2" t="inlineStr">
        <is>
          <t>2026-01-10</t>
        </is>
      </c>
      <c r="B7" s="2" t="inlineStr">
        <is>
          <t>Carlos Peña</t>
        </is>
      </c>
      <c r="C7" s="2" t="inlineStr">
        <is>
          <t>Teclado Mecánico</t>
        </is>
      </c>
      <c r="D7" s="2" t="inlineStr">
        <is>
          <t>Electrónica</t>
        </is>
      </c>
      <c r="E7" s="2" t="inlineStr">
        <is>
          <t>Centro</t>
        </is>
      </c>
      <c r="F7" s="3" t="n">
        <v>1450</v>
      </c>
      <c r="G7" s="2" t="n">
        <v>3</v>
      </c>
      <c r="H7" s="2" t="inlineStr">
        <is>
          <t>VERDADERO</t>
        </is>
      </c>
    </row>
    <row r="8">
      <c r="A8" s="2" t="inlineStr">
        <is>
          <t>2026-01-12</t>
        </is>
      </c>
      <c r="B8" s="2" t="inlineStr">
        <is>
          <t>Marta Ríos</t>
        </is>
      </c>
      <c r="C8" s="2" t="inlineStr">
        <is>
          <t>Silla Ergonómica</t>
        </is>
      </c>
      <c r="D8" s="2" t="inlineStr">
        <is>
          <t>Muebles</t>
        </is>
      </c>
      <c r="E8" s="2" t="inlineStr">
        <is>
          <t>Norte</t>
        </is>
      </c>
      <c r="F8" s="3" t="n">
        <v>2300.5</v>
      </c>
      <c r="G8" s="2" t="n">
        <v>1</v>
      </c>
      <c r="H8" s="2" t="inlineStr">
        <is>
          <t>VERDADERO</t>
        </is>
      </c>
    </row>
    <row r="9">
      <c r="A9" s="2" t="inlineStr">
        <is>
          <t>2026-01-13</t>
        </is>
      </c>
      <c r="B9" s="2" t="inlineStr">
        <is>
          <t>Ana Torres</t>
        </is>
      </c>
      <c r="C9" s="2" t="inlineStr">
        <is>
          <t>Mouse Inalámbrico</t>
        </is>
      </c>
      <c r="D9" s="2" t="inlineStr">
        <is>
          <t>Electrónica</t>
        </is>
      </c>
      <c r="E9" s="2" t="inlineStr">
        <is>
          <t>Sur</t>
        </is>
      </c>
      <c r="F9" s="3" t="n">
        <v>650</v>
      </c>
      <c r="G9" s="2" t="n">
        <v>5</v>
      </c>
      <c r="H9" s="2" t="inlineStr">
        <is>
          <t>VERDADERO</t>
        </is>
      </c>
    </row>
    <row r="10">
      <c r="A10" s="2" t="inlineStr">
        <is>
          <t>2026-01-14</t>
        </is>
      </c>
      <c r="B10" s="2" t="inlineStr">
        <is>
          <t>Carlos Peña</t>
        </is>
      </c>
      <c r="C10" s="4" t="inlineStr"/>
      <c r="D10" s="2" t="inlineStr">
        <is>
          <t>Electrónica</t>
        </is>
      </c>
      <c r="E10" s="2" t="inlineStr">
        <is>
          <t>Centro</t>
        </is>
      </c>
      <c r="F10" s="3" t="n">
        <v>890</v>
      </c>
      <c r="G10" s="2" t="n">
        <v>1</v>
      </c>
      <c r="H10" s="2" t="inlineStr">
        <is>
          <t>VERDADERO</t>
        </is>
      </c>
    </row>
    <row r="11">
      <c r="A11" s="2" t="inlineStr">
        <is>
          <t>2026-01-15</t>
        </is>
      </c>
      <c r="B11" s="2" t="inlineStr">
        <is>
          <t>Luis Medina</t>
        </is>
      </c>
      <c r="C11" s="2" t="inlineStr">
        <is>
          <t>Lámpara de Escritorio</t>
        </is>
      </c>
      <c r="D11" s="2" t="inlineStr">
        <is>
          <t>Muebles</t>
        </is>
      </c>
      <c r="E11" s="2" t="inlineStr">
        <is>
          <t>Norte</t>
        </is>
      </c>
      <c r="F11" s="3" t="n">
        <v>780</v>
      </c>
      <c r="G11" s="2" t="n">
        <v>2</v>
      </c>
      <c r="H11" s="2" t="inlineStr">
        <is>
          <t>FALSO</t>
        </is>
      </c>
    </row>
    <row r="12">
      <c r="A12" s="2" t="inlineStr">
        <is>
          <t>2026-01-16</t>
        </is>
      </c>
      <c r="B12" s="2" t="inlineStr">
        <is>
          <t>Marta Ríos</t>
        </is>
      </c>
      <c r="C12" s="2" t="inlineStr">
        <is>
          <t>Laptop Pro</t>
        </is>
      </c>
      <c r="D12" s="2" t="inlineStr">
        <is>
          <t>Electrónica</t>
        </is>
      </c>
      <c r="E12" s="2" t="inlineStr">
        <is>
          <t>Sur</t>
        </is>
      </c>
      <c r="F12" s="3" t="n">
        <v>9250</v>
      </c>
      <c r="G12" s="2" t="n">
        <v>1</v>
      </c>
      <c r="H12" s="2" t="inlineStr">
        <is>
          <t>VERDADERO</t>
        </is>
      </c>
    </row>
    <row r="13">
      <c r="A13" s="2" t="inlineStr">
        <is>
          <t>2026-01-18</t>
        </is>
      </c>
      <c r="B13" s="2" t="inlineStr">
        <is>
          <t>Ana Torres</t>
        </is>
      </c>
      <c r="C13" s="2" t="inlineStr">
        <is>
          <t>Silla Ergonómica</t>
        </is>
      </c>
      <c r="D13" s="2" t="inlineStr">
        <is>
          <t>Muebles</t>
        </is>
      </c>
      <c r="E13" s="2" t="inlineStr">
        <is>
          <t>Centro</t>
        </is>
      </c>
      <c r="F13" s="3" t="n">
        <v>2300.5</v>
      </c>
      <c r="G13" s="2" t="n">
        <v>1</v>
      </c>
      <c r="H13" s="2" t="inlineStr">
        <is>
          <t>VERDADERO</t>
        </is>
      </c>
    </row>
    <row r="14">
      <c r="A14" s="2" t="inlineStr">
        <is>
          <t>2026-01-19</t>
        </is>
      </c>
      <c r="B14" s="2" t="inlineStr">
        <is>
          <t>Carlos Peña</t>
        </is>
      </c>
      <c r="C14" s="2" t="inlineStr">
        <is>
          <t>Monitor 27"</t>
        </is>
      </c>
      <c r="D14" s="2" t="inlineStr">
        <is>
          <t>Electrónica</t>
        </is>
      </c>
      <c r="E14" s="2" t="inlineStr">
        <is>
          <t>Norte</t>
        </is>
      </c>
      <c r="F14" s="3" t="n">
        <v>4200</v>
      </c>
      <c r="G14" s="2" t="n">
        <v>2</v>
      </c>
      <c r="H14" s="2" t="inlineStr">
        <is>
          <t>VERDADERO</t>
        </is>
      </c>
    </row>
    <row r="15">
      <c r="A15" s="2" t="inlineStr">
        <is>
          <t>2026-01-20</t>
        </is>
      </c>
      <c r="B15" s="2" t="inlineStr">
        <is>
          <t>Luis Medina</t>
        </is>
      </c>
      <c r="C15" s="2" t="inlineStr">
        <is>
          <t>Teclado Mecánico</t>
        </is>
      </c>
      <c r="D15" s="2" t="inlineStr">
        <is>
          <t>Electrónica</t>
        </is>
      </c>
      <c r="E15" s="2" t="inlineStr">
        <is>
          <t>Sur</t>
        </is>
      </c>
      <c r="F15" s="3" t="n">
        <v>1450</v>
      </c>
      <c r="G15" s="2" t="n">
        <v>1</v>
      </c>
      <c r="H15" s="2" t="inlineStr">
        <is>
          <t>VERDADERO</t>
        </is>
      </c>
    </row>
    <row r="16">
      <c r="A16" s="2" t="inlineStr">
        <is>
          <t>2026-01-22</t>
        </is>
      </c>
      <c r="B16" s="2" t="inlineStr">
        <is>
          <t>Marta Ríos</t>
        </is>
      </c>
      <c r="C16" s="2" t="inlineStr">
        <is>
          <t>Escritorio</t>
        </is>
      </c>
      <c r="D16" s="2" t="inlineStr">
        <is>
          <t>Muebles</t>
        </is>
      </c>
      <c r="E16" s="2" t="inlineStr">
        <is>
          <t>Centro</t>
        </is>
      </c>
      <c r="F16" s="3" t="n">
        <v>3100</v>
      </c>
      <c r="G16" s="2" t="n">
        <v>1</v>
      </c>
      <c r="H16" s="2" t="inlineStr">
        <is>
          <t>FALSO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55" customWidth="1" min="5" max="5"/>
  </cols>
  <sheetData>
    <row r="1">
      <c r="A1" s="1" t="inlineStr">
        <is>
          <t>Vendedor</t>
        </is>
      </c>
      <c r="B1" s="1" t="inlineStr">
        <is>
          <t>Total ventas</t>
        </is>
      </c>
      <c r="C1" s="1" t="inlineStr">
        <is>
          <t>Unidades</t>
        </is>
      </c>
      <c r="E1" s="5" t="inlineStr">
        <is>
          <t>Resumen construido copiando datos y fórmulas SUMAR.SI hoja por hoja, cada vez que se necesitaba un reporte.</t>
        </is>
      </c>
    </row>
    <row r="2">
      <c r="A2" s="2" t="inlineStr">
        <is>
          <t>Ana Torres</t>
        </is>
      </c>
      <c r="B2" s="3">
        <f>SUMIF(Registro_Enero!$B$2:$B$16,$A2,Registro_Enero!$F$2:$F$16)</f>
        <v/>
      </c>
      <c r="C2" s="2">
        <f>SUMIF(Registro_Enero!$B$2:$B$16,$A2,Registro_Enero!$G$2:$G$16)</f>
        <v/>
      </c>
    </row>
    <row r="3">
      <c r="A3" s="2" t="inlineStr">
        <is>
          <t>Marta Ríos</t>
        </is>
      </c>
      <c r="B3" s="3">
        <f>SUMIF(Registro_Enero!$B$2:$B$16,$A3,Registro_Enero!$F$2:$F$16)</f>
        <v/>
      </c>
      <c r="C3" s="2">
        <f>SUMIF(Registro_Enero!$B$2:$B$16,$A3,Registro_Enero!$G$2:$G$16)</f>
        <v/>
      </c>
    </row>
    <row r="4">
      <c r="A4" s="2" t="inlineStr">
        <is>
          <t>Luis Medina</t>
        </is>
      </c>
      <c r="B4" s="3">
        <f>SUMIF(Registro_Enero!$B$2:$B$16,$A4,Registro_Enero!$F$2:$F$16)</f>
        <v/>
      </c>
      <c r="C4" s="2">
        <f>SUMIF(Registro_Enero!$B$2:$B$16,$A4,Registro_Enero!$G$2:$G$16)</f>
        <v/>
      </c>
    </row>
    <row r="5">
      <c r="A5" s="2" t="inlineStr">
        <is>
          <t>Carlos Peña</t>
        </is>
      </c>
      <c r="B5" s="3">
        <f>SUMIF(Registro_Enero!$B$2:$B$16,$A5,Registro_Enero!$F$2:$F$16)</f>
        <v/>
      </c>
      <c r="C5" s="2">
        <f>SUMIF(Registro_Enero!$B$2:$B$16,$A5,Registro_Enero!$G$2:$G$16)</f>
        <v/>
      </c>
    </row>
    <row r="6">
      <c r="A6" s="6" t="inlineStr">
        <is>
          <t>Total general</t>
        </is>
      </c>
      <c r="B6" s="7">
        <f>SUM(B2:B5)</f>
        <v/>
      </c>
      <c r="C6" s="6">
        <f>SUM(C2:C5)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2026-09-03T19:47:46Z</dcterms:created>
  <dcterms:modified xmlns:dcterms="http://purl.org/dc/terms/" xmlns:xsi="http://www.w3.org/2001/XMLSchema-instance" xsi:type="dcterms:W3CDTF">2026-09-03T19:47:46Z</dcterms:modified>
</cp:coreProperties>
</file>